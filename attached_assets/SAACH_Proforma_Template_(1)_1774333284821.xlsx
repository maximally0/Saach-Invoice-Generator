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Proforma Invoice" sheetId="2" state="visible" r:id="rId2"/>
  </sheets>
  <definedNames>
    <definedName name="_xlnm.Print_Area" localSheetId="1">'Proforma Invoice'!$A$1:$K$39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8FC7A2"/>
      <sz val="9"/>
    </font>
    <font>
      <name val="Arial"/>
      <b val="1"/>
      <color rgb="00FFFFFF"/>
      <sz val="11"/>
    </font>
    <font>
      <name val="Arial"/>
      <color rgb="001A1A2E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color rgb="006B7280"/>
      <sz val="9"/>
    </font>
    <font>
      <name val="Arial"/>
      <b val="1"/>
      <color rgb="00FFFFFF"/>
      <sz val="17"/>
    </font>
    <font>
      <name val="Arial"/>
      <color rgb="00BBCFE8"/>
      <sz val="9"/>
    </font>
    <font>
      <name val="Arial"/>
      <b val="1"/>
      <color rgb="00FFFFFF"/>
      <sz val="13"/>
    </font>
    <font>
      <name val="Arial"/>
      <b val="1"/>
      <color rgb="008FC7A2"/>
      <sz val="8"/>
    </font>
    <font>
      <name val="Arial"/>
      <b val="1"/>
      <color rgb="001B5EA8"/>
      <sz val="8"/>
    </font>
    <font>
      <name val="Arial"/>
      <i val="1"/>
      <color rgb="00BBBBBB"/>
      <sz val="11"/>
    </font>
    <font>
      <name val="Arial"/>
      <i val="1"/>
      <color rgb="00BBBBBB"/>
      <sz val="7"/>
    </font>
    <font>
      <name val="Arial"/>
      <b val="1"/>
      <color rgb="00FFFFFF"/>
      <sz val="8"/>
    </font>
    <font>
      <name val="Arial"/>
      <b val="1"/>
      <color rgb="0092400E"/>
      <sz val="9"/>
    </font>
    <font>
      <name val="Arial"/>
      <i val="1"/>
      <color rgb="00BBBBBB"/>
      <sz val="9"/>
    </font>
    <font>
      <name val="Arial"/>
      <i val="1"/>
      <color rgb="00BBBBBB"/>
      <sz val="8.5"/>
    </font>
    <font>
      <name val="Arial"/>
      <b val="1"/>
      <color rgb="0092400E"/>
      <sz val="10"/>
    </font>
    <font>
      <name val="Arial"/>
      <color rgb="0092400E"/>
      <sz val="9"/>
    </font>
    <font>
      <name val="Arial"/>
      <b val="1"/>
      <color rgb="001A6B2E"/>
      <sz val="10"/>
    </font>
    <font>
      <name val="Arial"/>
      <color rgb="006B7280"/>
      <sz val="8.5"/>
    </font>
    <font>
      <name val="Arial"/>
      <b val="1"/>
      <sz val="10"/>
    </font>
    <font>
      <name val="Arial"/>
      <b val="1"/>
      <color rgb="001A6B2E"/>
    </font>
    <font>
      <name val="Arial"/>
      <sz val="8.5"/>
    </font>
    <font>
      <name val="Arial"/>
      <b val="1"/>
      <color rgb="00FFFFFF"/>
      <sz val="10"/>
    </font>
    <font>
      <name val="Arial"/>
      <b val="1"/>
      <color rgb="00FFFFFF"/>
      <sz val="12"/>
    </font>
    <font>
      <name val="Arial"/>
      <b val="1"/>
      <color rgb="002E8B3A"/>
      <sz val="9"/>
    </font>
    <font>
      <name val="Arial"/>
      <b val="1"/>
      <color rgb="002E8B3A"/>
      <sz val="10"/>
    </font>
    <font>
      <name val="Arial"/>
      <b val="1"/>
      <color rgb="006B7280"/>
      <sz val="7.5"/>
    </font>
    <font>
      <name val="Arial"/>
      <b val="1"/>
      <color rgb="00134685"/>
      <sz val="10"/>
    </font>
    <font>
      <name val="Arial"/>
      <b val="1"/>
      <color rgb="001A1A2E"/>
      <sz val="9"/>
    </font>
    <font>
      <name val="Arial"/>
      <color rgb="00BBCFE8"/>
      <sz val="7.5"/>
    </font>
  </fonts>
  <fills count="11">
    <fill>
      <patternFill/>
    </fill>
    <fill>
      <patternFill patternType="gray125"/>
    </fill>
    <fill>
      <patternFill patternType="solid">
        <fgColor rgb="00134685"/>
      </patternFill>
    </fill>
    <fill>
      <patternFill patternType="solid">
        <fgColor rgb="002E8B3A"/>
      </patternFill>
    </fill>
    <fill>
      <patternFill patternType="solid">
        <fgColor rgb="00F59E0B"/>
      </patternFill>
    </fill>
    <fill>
      <patternFill patternType="solid">
        <fgColor rgb="00FFFBEB"/>
      </patternFill>
    </fill>
    <fill>
      <patternFill patternType="solid">
        <fgColor rgb="001B5EA8"/>
      </patternFill>
    </fill>
    <fill>
      <patternFill patternType="solid">
        <fgColor rgb="00F4F7FC"/>
      </patternFill>
    </fill>
    <fill>
      <patternFill patternType="solid">
        <fgColor rgb="00FFFFFF"/>
      </patternFill>
    </fill>
    <fill>
      <patternFill patternType="solid">
        <fgColor rgb="00F0F6FF"/>
      </patternFill>
    </fill>
    <fill>
      <patternFill patternType="solid">
        <fgColor rgb="00EAF5EB"/>
      </patternFill>
    </fill>
  </fills>
  <borders count="5">
    <border>
      <left/>
      <right/>
      <top/>
      <bottom/>
      <diagonal/>
    </border>
    <border>
      <left style="thin">
        <color rgb="00F59E0B"/>
      </left>
      <right style="thin">
        <color rgb="00F59E0B"/>
      </right>
      <top style="thin">
        <color rgb="00F59E0B"/>
      </top>
      <bottom style="thin">
        <color rgb="00F59E0B"/>
      </bottom>
    </border>
    <border>
      <left style="thin">
        <color rgb="001B5EA8"/>
      </left>
      <right style="thin">
        <color rgb="001B5EA8"/>
      </right>
      <top style="thin">
        <color rgb="001B5EA8"/>
      </top>
      <bottom style="thin">
        <color rgb="001B5EA8"/>
      </bottom>
    </border>
    <border>
      <left style="thin">
        <color rgb="00D0D8E4"/>
      </left>
      <right style="thin">
        <color rgb="00D0D8E4"/>
      </right>
      <top style="thin">
        <color rgb="00D0D8E4"/>
      </top>
      <bottom style="thin">
        <color rgb="00D0D8E4"/>
      </bottom>
    </border>
    <border>
      <left style="thin">
        <color rgb="002E8B3A"/>
      </left>
      <right style="thin">
        <color rgb="002E8B3A"/>
      </right>
      <top style="thin">
        <color rgb="002E8B3A"/>
      </top>
      <bottom style="thin">
        <color rgb="002E8B3A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/>
    </xf>
    <xf numFmtId="0" fontId="6" fillId="7" borderId="3" applyAlignment="1" pivotButton="0" quotePrefix="0" xfId="0">
      <alignment horizontal="left" vertical="center"/>
    </xf>
    <xf numFmtId="0" fontId="7" fillId="8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10" fillId="6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right" vertical="center"/>
    </xf>
    <xf numFmtId="0" fontId="12" fillId="9" borderId="3" applyAlignment="1" pivotButton="0" quotePrefix="0" xfId="0">
      <alignment horizontal="left" vertical="center"/>
    </xf>
    <xf numFmtId="0" fontId="13" fillId="5" borderId="1" applyAlignment="1" pivotButton="0" quotePrefix="0" xfId="0">
      <alignment horizontal="left" vertical="center"/>
    </xf>
    <xf numFmtId="0" fontId="14" fillId="8" borderId="3" applyAlignment="1" pivotButton="0" quotePrefix="0" xfId="0">
      <alignment horizontal="left" vertical="center"/>
    </xf>
    <xf numFmtId="0" fontId="0" fillId="6" borderId="0" pivotButton="0" quotePrefix="0" xfId="0"/>
    <xf numFmtId="0" fontId="15" fillId="6" borderId="2" applyAlignment="1" pivotButton="0" quotePrefix="0" xfId="0">
      <alignment horizontal="center" vertical="center"/>
    </xf>
    <xf numFmtId="0" fontId="15" fillId="6" borderId="2" applyAlignment="1" pivotButton="0" quotePrefix="0" xfId="0">
      <alignment horizontal="left" vertical="center"/>
    </xf>
    <xf numFmtId="0" fontId="15" fillId="6" borderId="2" applyAlignment="1" pivotButton="0" quotePrefix="0" xfId="0">
      <alignment horizontal="right" vertical="center"/>
    </xf>
    <xf numFmtId="0" fontId="16" fillId="5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left" vertical="center" wrapText="1"/>
    </xf>
    <xf numFmtId="0" fontId="18" fillId="5" borderId="1" applyAlignment="1" pivotButton="0" quotePrefix="0" xfId="0">
      <alignment horizontal="left" vertical="center" wrapText="1"/>
    </xf>
    <xf numFmtId="0" fontId="18" fillId="5" borderId="1" applyAlignment="1" pivotButton="0" quotePrefix="0" xfId="0">
      <alignment horizontal="left" vertical="center"/>
    </xf>
    <xf numFmtId="3" fontId="19" fillId="5" borderId="1" applyAlignment="1" pivotButton="0" quotePrefix="0" xfId="0">
      <alignment horizontal="right" vertical="center"/>
    </xf>
    <xf numFmtId="4" fontId="19" fillId="5" borderId="1" applyAlignment="1" pivotButton="0" quotePrefix="0" xfId="0">
      <alignment horizontal="right" vertical="center"/>
    </xf>
    <xf numFmtId="0" fontId="20" fillId="5" borderId="1" applyAlignment="1" pivotButton="0" quotePrefix="0" xfId="0">
      <alignment horizontal="center" vertical="center"/>
    </xf>
    <xf numFmtId="4" fontId="21" fillId="10" borderId="4" applyAlignment="1" pivotButton="0" quotePrefix="0" xfId="0">
      <alignment horizontal="right" vertical="center"/>
    </xf>
    <xf numFmtId="0" fontId="15" fillId="6" borderId="0" applyAlignment="1" pivotButton="0" quotePrefix="0" xfId="0">
      <alignment horizontal="left" vertical="center"/>
    </xf>
    <xf numFmtId="0" fontId="7" fillId="7" borderId="3" applyAlignment="1" pivotButton="0" quotePrefix="0" xfId="0">
      <alignment horizontal="center" vertical="center"/>
    </xf>
    <xf numFmtId="0" fontId="6" fillId="7" borderId="3" applyAlignment="1" pivotButton="0" quotePrefix="0" xfId="0">
      <alignment horizontal="left" vertical="center" wrapText="1"/>
    </xf>
    <xf numFmtId="0" fontId="22" fillId="7" borderId="3" applyAlignment="1" pivotButton="0" quotePrefix="0" xfId="0">
      <alignment horizontal="left" vertical="center" wrapText="1"/>
    </xf>
    <xf numFmtId="4" fontId="23" fillId="7" borderId="3" applyAlignment="1" pivotButton="0" quotePrefix="0" xfId="0">
      <alignment horizontal="right" vertical="center"/>
    </xf>
    <xf numFmtId="4" fontId="24" fillId="10" borderId="4" applyAlignment="1" pivotButton="0" quotePrefix="0" xfId="0">
      <alignment horizontal="right" vertical="center"/>
    </xf>
    <xf numFmtId="0" fontId="7" fillId="8" borderId="3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0" fontId="22" fillId="8" borderId="3" applyAlignment="1" pivotButton="0" quotePrefix="0" xfId="0">
      <alignment horizontal="left" vertical="center" wrapText="1"/>
    </xf>
    <xf numFmtId="4" fontId="23" fillId="8" borderId="3" applyAlignment="1" pivotButton="0" quotePrefix="0" xfId="0">
      <alignment horizontal="right" vertical="center"/>
    </xf>
    <xf numFmtId="0" fontId="25" fillId="8" borderId="3" applyAlignment="1" pivotButton="0" quotePrefix="0" xfId="0">
      <alignment horizontal="left" vertical="center"/>
    </xf>
    <xf numFmtId="0" fontId="7" fillId="8" borderId="3" applyAlignment="1" pivotButton="0" quotePrefix="0" xfId="0">
      <alignment horizontal="right" vertical="center"/>
    </xf>
    <xf numFmtId="4" fontId="4" fillId="8" borderId="3" applyAlignment="1" pivotButton="0" quotePrefix="0" xfId="0">
      <alignment horizontal="right" vertical="center"/>
    </xf>
    <xf numFmtId="0" fontId="25" fillId="7" borderId="3" applyAlignment="1" pivotButton="0" quotePrefix="0" xfId="0">
      <alignment horizontal="left" vertical="center"/>
    </xf>
    <xf numFmtId="0" fontId="26" fillId="6" borderId="2" applyAlignment="1" pivotButton="0" quotePrefix="0" xfId="0">
      <alignment horizontal="right" vertical="center"/>
    </xf>
    <xf numFmtId="4" fontId="27" fillId="6" borderId="2" applyAlignment="1" pivotButton="0" quotePrefix="0" xfId="0">
      <alignment horizontal="right" vertical="center"/>
    </xf>
    <xf numFmtId="0" fontId="28" fillId="10" borderId="4" applyAlignment="1" pivotButton="0" quotePrefix="0" xfId="0">
      <alignment horizontal="right" vertical="center"/>
    </xf>
    <xf numFmtId="4" fontId="29" fillId="10" borderId="4" applyAlignment="1" pivotButton="0" quotePrefix="0" xfId="0">
      <alignment horizontal="right" vertical="center"/>
    </xf>
    <xf numFmtId="0" fontId="30" fillId="7" borderId="3" applyAlignment="1" pivotButton="0" quotePrefix="0" xfId="0">
      <alignment horizontal="left" vertical="center"/>
    </xf>
    <xf numFmtId="0" fontId="31" fillId="8" borderId="3" applyAlignment="1" pivotButton="0" quotePrefix="0" xfId="0">
      <alignment horizontal="left" vertical="center"/>
    </xf>
    <xf numFmtId="0" fontId="32" fillId="8" borderId="3" applyAlignment="1" pivotButton="0" quotePrefix="0" xfId="0">
      <alignment horizontal="left" vertical="center"/>
    </xf>
    <xf numFmtId="0" fontId="26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right" vertical="center"/>
    </xf>
    <xf numFmtId="0" fontId="3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F59E0B"/>
    <outlinePr summaryBelow="1" summaryRight="1"/>
    <pageSetUpPr/>
  </sheetPr>
  <dimension ref="A1:D31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58" customWidth="1" min="3" max="3"/>
    <col width="3" customWidth="1" min="4" max="4"/>
  </cols>
  <sheetData>
    <row r="1" ht="8" customHeight="1">
      <c r="A1" s="1" t="n"/>
      <c r="B1" s="1" t="n"/>
      <c r="C1" s="1" t="n"/>
      <c r="D1" s="1" t="n"/>
    </row>
    <row r="2" ht="30" customHeight="1">
      <c r="A2" s="2" t="inlineStr">
        <is>
          <t>SAACH PHARMACEUTICALS — PROFORMA INVOICE TEMPLATE</t>
        </is>
      </c>
    </row>
    <row r="3" ht="16" customHeight="1">
      <c r="A3" s="3" t="inlineStr">
        <is>
          <t>Follow these steps every time you need to create an invoice</t>
        </is>
      </c>
    </row>
    <row r="4" ht="10" customHeight="1">
      <c r="A4" s="1" t="n"/>
      <c r="B4" s="1" t="n"/>
      <c r="C4" s="1" t="n"/>
      <c r="D4" s="1" t="n"/>
    </row>
    <row r="5" ht="4" customHeight="1">
      <c r="A5" s="4" t="n"/>
    </row>
    <row r="7" ht="6" customHeight="1"/>
    <row r="8" ht="24" customHeight="1">
      <c r="B8" s="5" t="inlineStr">
        <is>
          <t>1</t>
        </is>
      </c>
      <c r="C8" s="6" t="inlineStr">
        <is>
          <t>STEP 1:  Click the 'Proforma Invoice' tab at the bottom of this file.</t>
        </is>
      </c>
    </row>
    <row r="9" ht="4" customHeight="1"/>
    <row r="10" ht="6" customHeight="1"/>
    <row r="11" ht="24" customHeight="1">
      <c r="B11" s="5" t="inlineStr">
        <is>
          <t>2</t>
        </is>
      </c>
      <c r="C11" s="6" t="inlineStr">
        <is>
          <t>STEP 2:  Fill in the YELLOW cells — these are the ones you change each time.</t>
        </is>
      </c>
    </row>
    <row r="12" ht="4" customHeight="1"/>
    <row r="13" ht="6" customHeight="1"/>
    <row r="14" ht="24" customHeight="1">
      <c r="B14" s="5" t="inlineStr">
        <is>
          <t>3</t>
        </is>
      </c>
      <c r="C14" s="6" t="inlineStr">
        <is>
          <t>STEP 3:  Company details (blue header, bank info, GST, terms) are fixed — don't edit those.</t>
        </is>
      </c>
    </row>
    <row r="15" ht="4" customHeight="1"/>
    <row r="16" ht="6" customHeight="1"/>
    <row r="17" ht="24" customHeight="1">
      <c r="B17" s="5" t="inlineStr">
        <is>
          <t>4</t>
        </is>
      </c>
      <c r="C17" s="6" t="inlineStr">
        <is>
          <t>STEP 4:  For each product row: type the product name, composition, qty, and rate. The AMOUNT column will auto-calculate.</t>
        </is>
      </c>
    </row>
    <row r="18" ht="4" customHeight="1"/>
    <row r="19" ht="6" customHeight="1"/>
    <row r="20" ht="24" customHeight="1">
      <c r="B20" s="5" t="inlineStr">
        <is>
          <t>5</t>
        </is>
      </c>
      <c r="C20" s="6" t="inlineStr">
        <is>
          <t>STEP 5:  Totals (Sub-total, GST, Grand Total, 30% Advance) all calculate automatically in the green cells.</t>
        </is>
      </c>
    </row>
    <row r="21" ht="4" customHeight="1"/>
    <row r="22" ht="6" customHeight="1"/>
    <row r="23" ht="24" customHeight="1">
      <c r="B23" s="5" t="inlineStr">
        <is>
          <t>6</t>
        </is>
      </c>
      <c r="C23" s="6" t="inlineStr">
        <is>
          <t>STEP 6:  When done: File → Print → Set paper to A4 → Print (or 'Save as PDF' on Windows/Mac).</t>
        </is>
      </c>
    </row>
    <row r="24" ht="4" customHeight="1"/>
    <row r="27" ht="18" customHeight="1">
      <c r="B27" s="7" t="inlineStr">
        <is>
          <t>COLOUR KEY:</t>
        </is>
      </c>
    </row>
    <row r="28" ht="18" customHeight="1">
      <c r="B28" s="8" t="inlineStr">
        <is>
          <t>🟡 YELLOW cells</t>
        </is>
      </c>
      <c r="C28" s="9" t="inlineStr">
        <is>
          <t>Fill these in — client name, date, products, qty, rate, artwork</t>
        </is>
      </c>
    </row>
    <row r="29" ht="18" customHeight="1">
      <c r="B29" s="10" t="inlineStr">
        <is>
          <t>🔵 BLUE cells</t>
        </is>
      </c>
      <c r="C29" s="9" t="inlineStr">
        <is>
          <t>Fixed company info — DO NOT edit</t>
        </is>
      </c>
    </row>
    <row r="30" ht="18" customHeight="1">
      <c r="B30" s="8" t="inlineStr">
        <is>
          <t>🟢 GREEN cells</t>
        </is>
      </c>
      <c r="C30" s="9" t="inlineStr">
        <is>
          <t>Auto-calculated — update automatically when you fill yellow cells</t>
        </is>
      </c>
    </row>
    <row r="31" ht="18" customHeight="1">
      <c r="B31" s="10" t="inlineStr">
        <is>
          <t>⬜ WHITE cells</t>
        </is>
      </c>
      <c r="C31" s="9" t="inlineStr">
        <is>
          <t>Fixed preset values (e.g. cylinder/inventory rates) — edit only if needed</t>
        </is>
      </c>
    </row>
  </sheetData>
  <mergeCells count="10">
    <mergeCell ref="A5:D5"/>
    <mergeCell ref="C23"/>
    <mergeCell ref="C8"/>
    <mergeCell ref="C17"/>
    <mergeCell ref="C20"/>
    <mergeCell ref="A3:D3"/>
    <mergeCell ref="C11"/>
    <mergeCell ref="A2:D2"/>
    <mergeCell ref="B27:C27"/>
    <mergeCell ref="C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5EA8"/>
    <outlinePr summaryBelow="1" summaryRight="1"/>
    <pageSetUpPr fitToPage="1"/>
  </sheetPr>
  <dimension ref="A1:K39"/>
  <sheetViews>
    <sheetView showGridLines="0" zoomScale="10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16" customWidth="1" min="4" max="4"/>
    <col width="30" customWidth="1" min="5" max="5"/>
    <col width="10" customWidth="1" min="6" max="6"/>
    <col width="14" customWidth="1" min="7" max="7"/>
    <col width="7" customWidth="1" min="8" max="8"/>
    <col width="11" customWidth="1" min="9" max="9"/>
    <col width="9" customWidth="1" min="10" max="10"/>
    <col width="14" customWidth="1" min="11" max="11"/>
  </cols>
  <sheetData>
    <row r="1" ht="1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26" customHeight="1">
      <c r="A2" s="1" t="n"/>
      <c r="B2" s="1" t="n"/>
      <c r="C2" s="1" t="n"/>
      <c r="D2" s="11" t="inlineStr">
        <is>
          <t>SAACH PHARMACEUTICALS PVT. LTD.</t>
        </is>
      </c>
    </row>
    <row r="3" ht="14" customHeight="1">
      <c r="A3" s="1" t="n"/>
      <c r="B3" s="1" t="n"/>
      <c r="C3" s="1" t="n"/>
      <c r="D3" s="12" t="inlineStr">
        <is>
          <t>QUALITY MEDICINES  ·  TRUSTED HEALTHCARE</t>
        </is>
      </c>
    </row>
    <row r="4" ht="14" customHeight="1">
      <c r="A4" s="1" t="n"/>
      <c r="B4" s="1" t="n"/>
      <c r="C4" s="1" t="n"/>
      <c r="D4" s="13" t="inlineStr">
        <is>
          <t>SCO 405, Motor Market, Manimajra, Chandigarh – 160101</t>
        </is>
      </c>
    </row>
    <row r="5" ht="14" customHeight="1">
      <c r="A5" s="1" t="n"/>
      <c r="B5" s="1" t="n"/>
      <c r="C5" s="1" t="n"/>
      <c r="D5" s="13" t="inlineStr">
        <is>
          <t>saachpharmaceuticals@gmail.com   |   +91 73076 35695</t>
        </is>
      </c>
    </row>
    <row r="6" ht="8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 ht="4" customHeight="1">
      <c r="A7" s="4" t="n"/>
    </row>
    <row r="8" ht="22" customHeight="1">
      <c r="A8" s="14" t="inlineStr">
        <is>
          <t>PROFORMA INVOICE</t>
        </is>
      </c>
      <c r="I8" s="15" t="inlineStr">
        <is>
          <t>ORIGINAL COPY</t>
        </is>
      </c>
    </row>
    <row r="9" ht="8" customHeight="1"/>
    <row r="10" ht="13" customHeight="1">
      <c r="B10" s="16" t="inlineStr">
        <is>
          <t>BILLED TO  ✏ Fill this in</t>
        </is>
      </c>
      <c r="F10" s="16" t="inlineStr">
        <is>
          <t>INVOICE NO.  ✏ Fill this in</t>
        </is>
      </c>
      <c r="I10" s="16" t="inlineStr">
        <is>
          <t>DATE  ✏ Fill this in</t>
        </is>
      </c>
    </row>
    <row r="11" ht="20" customHeight="1">
      <c r="B11" s="17" t="inlineStr">
        <is>
          <t>Type client / party name here</t>
        </is>
      </c>
      <c r="F11" s="17" t="inlineStr">
        <is>
          <t>e.g.  MA020326</t>
        </is>
      </c>
      <c r="I11" s="17" t="inlineStr">
        <is>
          <t>e.g.  17 March 2026</t>
        </is>
      </c>
    </row>
    <row r="12" ht="12" customHeight="1">
      <c r="B12" s="18" t="inlineStr">
        <is>
          <t>✏ Click here and type</t>
        </is>
      </c>
      <c r="F12" s="18" t="inlineStr">
        <is>
          <t>✏ Click here and type</t>
        </is>
      </c>
      <c r="I12" s="18" t="inlineStr">
        <is>
          <t>✏ Click here and type</t>
        </is>
      </c>
    </row>
    <row r="13" ht="8" customHeight="1"/>
    <row r="14" ht="20" customHeight="1">
      <c r="A14" s="19" t="n"/>
      <c r="B14" s="20" t="inlineStr">
        <is>
          <t>#</t>
        </is>
      </c>
      <c r="C14" s="21" t="inlineStr">
        <is>
          <t>PRODUCT NAME</t>
        </is>
      </c>
      <c r="E14" s="21" t="inlineStr">
        <is>
          <t>COMPOSITION</t>
        </is>
      </c>
      <c r="F14" s="21" t="inlineStr">
        <is>
          <t>FORM</t>
        </is>
      </c>
      <c r="G14" s="21" t="inlineStr">
        <is>
          <t>PACKING</t>
        </is>
      </c>
      <c r="H14" s="22" t="inlineStr">
        <is>
          <t>QTY</t>
        </is>
      </c>
      <c r="I14" s="22" t="inlineStr">
        <is>
          <t>RATE (Rs.)</t>
        </is>
      </c>
      <c r="J14" s="20" t="inlineStr">
        <is>
          <t>ARTWORK</t>
        </is>
      </c>
      <c r="K14" s="22" t="inlineStr">
        <is>
          <t>AMOUNT (Rs.)</t>
        </is>
      </c>
    </row>
    <row r="15" ht="32" customHeight="1">
      <c r="B15" s="23" t="n">
        <v>1</v>
      </c>
      <c r="C15" s="24" t="inlineStr">
        <is>
          <t>✏ Brand / Product name</t>
        </is>
      </c>
      <c r="E15" s="25" t="inlineStr">
        <is>
          <t>✏ Active ingredients / Composition</t>
        </is>
      </c>
      <c r="F15" s="26" t="inlineStr">
        <is>
          <t>✏ e.g. Tablet</t>
        </is>
      </c>
      <c r="G15" s="26" t="inlineStr">
        <is>
          <t>✏ e.g. 10x10</t>
        </is>
      </c>
      <c r="H15" s="27" t="n">
        <v>0</v>
      </c>
      <c r="I15" s="28" t="n">
        <v>0</v>
      </c>
      <c r="J15" s="29" t="inlineStr">
        <is>
          <t>✏</t>
        </is>
      </c>
      <c r="K15" s="30">
        <f>IF(H15*I15=0,"",H15*I15)</f>
        <v/>
      </c>
    </row>
    <row r="16" ht="32" customHeight="1">
      <c r="B16" s="23" t="n">
        <v>2</v>
      </c>
      <c r="C16" s="24" t="inlineStr">
        <is>
          <t>✏ Brand / Product name</t>
        </is>
      </c>
      <c r="E16" s="25" t="inlineStr">
        <is>
          <t>✏ Active ingredients / Composition</t>
        </is>
      </c>
      <c r="F16" s="26" t="inlineStr">
        <is>
          <t>✏ e.g. Tablet</t>
        </is>
      </c>
      <c r="G16" s="26" t="inlineStr">
        <is>
          <t>✏ e.g. 10x10</t>
        </is>
      </c>
      <c r="H16" s="27" t="n">
        <v>0</v>
      </c>
      <c r="I16" s="28" t="n">
        <v>0</v>
      </c>
      <c r="J16" s="29" t="inlineStr">
        <is>
          <t>✏</t>
        </is>
      </c>
      <c r="K16" s="30">
        <f>IF(H16*I16=0,"",H16*I16)</f>
        <v/>
      </c>
    </row>
    <row r="17" ht="32" customHeight="1">
      <c r="B17" s="23" t="n">
        <v>3</v>
      </c>
      <c r="C17" s="24" t="inlineStr">
        <is>
          <t>✏ Brand / Product name</t>
        </is>
      </c>
      <c r="E17" s="25" t="inlineStr">
        <is>
          <t>✏ Active ingredients / Composition</t>
        </is>
      </c>
      <c r="F17" s="26" t="inlineStr">
        <is>
          <t>✏ e.g. Tablet</t>
        </is>
      </c>
      <c r="G17" s="26" t="inlineStr">
        <is>
          <t>✏ e.g. 10x10</t>
        </is>
      </c>
      <c r="H17" s="27" t="n">
        <v>0</v>
      </c>
      <c r="I17" s="28" t="n">
        <v>0</v>
      </c>
      <c r="J17" s="29" t="inlineStr">
        <is>
          <t>✏</t>
        </is>
      </c>
      <c r="K17" s="30">
        <f>IF(H17*I17=0,"",H17*I17)</f>
        <v/>
      </c>
    </row>
    <row r="18" ht="32" customHeight="1">
      <c r="B18" s="23" t="n">
        <v>4</v>
      </c>
      <c r="C18" s="24" t="inlineStr">
        <is>
          <t>✏ Brand / Product name</t>
        </is>
      </c>
      <c r="E18" s="25" t="inlineStr">
        <is>
          <t>✏ Active ingredients / Composition</t>
        </is>
      </c>
      <c r="F18" s="26" t="inlineStr">
        <is>
          <t>✏ e.g. Tablet</t>
        </is>
      </c>
      <c r="G18" s="26" t="inlineStr">
        <is>
          <t>✏ e.g. 10x10</t>
        </is>
      </c>
      <c r="H18" s="27" t="n">
        <v>0</v>
      </c>
      <c r="I18" s="28" t="n">
        <v>0</v>
      </c>
      <c r="J18" s="29" t="inlineStr">
        <is>
          <t>✏</t>
        </is>
      </c>
      <c r="K18" s="30">
        <f>IF(H18*I18=0,"",H18*I18)</f>
        <v/>
      </c>
    </row>
    <row r="19" ht="32" customHeight="1">
      <c r="B19" s="23" t="n">
        <v>5</v>
      </c>
      <c r="C19" s="24" t="inlineStr">
        <is>
          <t>✏ Brand / Product name</t>
        </is>
      </c>
      <c r="E19" s="25" t="inlineStr">
        <is>
          <t>✏ Active ingredients / Composition</t>
        </is>
      </c>
      <c r="F19" s="26" t="inlineStr">
        <is>
          <t>✏ e.g. Tablet</t>
        </is>
      </c>
      <c r="G19" s="26" t="inlineStr">
        <is>
          <t>✏ e.g. 10x10</t>
        </is>
      </c>
      <c r="H19" s="27" t="n">
        <v>0</v>
      </c>
      <c r="I19" s="28" t="n">
        <v>0</v>
      </c>
      <c r="J19" s="29" t="inlineStr">
        <is>
          <t>✏</t>
        </is>
      </c>
      <c r="K19" s="30">
        <f>IF(H19*I19=0,"",H19*I19)</f>
        <v/>
      </c>
    </row>
    <row r="20" ht="14" customHeight="1">
      <c r="B20" s="31" t="inlineStr">
        <is>
          <t>ADDITIONAL CHARGES</t>
        </is>
      </c>
    </row>
    <row r="21" ht="28" customHeight="1">
      <c r="B21" s="32" t="inlineStr">
        <is>
          <t>—</t>
        </is>
      </c>
      <c r="C21" s="33" t="inlineStr">
        <is>
          <t>Cylinder Charges</t>
        </is>
      </c>
      <c r="E21" s="34" t="inlineStr">
        <is>
          <t>Packaging cylinder (as applicable)</t>
        </is>
      </c>
      <c r="F21" s="32" t="inlineStr">
        <is>
          <t>—</t>
        </is>
      </c>
      <c r="G21" s="32" t="inlineStr">
        <is>
          <t>—</t>
        </is>
      </c>
      <c r="H21" s="27" t="n">
        <v>0</v>
      </c>
      <c r="I21" s="35" t="n">
        <v>1500</v>
      </c>
      <c r="J21" s="32" t="inlineStr">
        <is>
          <t>—</t>
        </is>
      </c>
      <c r="K21" s="36">
        <f>IF(H21*I21=0,"",H21*I21)</f>
        <v/>
      </c>
    </row>
    <row r="22" ht="28" customHeight="1">
      <c r="B22" s="37" t="inlineStr">
        <is>
          <t>—</t>
        </is>
      </c>
      <c r="C22" s="38" t="inlineStr">
        <is>
          <t>Inventory Charges</t>
        </is>
      </c>
      <c r="E22" s="39" t="inlineStr">
        <is>
          <t>Inventory mgmt fee (18% GST applicable per Govt. rules)</t>
        </is>
      </c>
      <c r="F22" s="37" t="inlineStr">
        <is>
          <t>—</t>
        </is>
      </c>
      <c r="G22" s="37" t="inlineStr">
        <is>
          <t>—</t>
        </is>
      </c>
      <c r="H22" s="27" t="n">
        <v>0</v>
      </c>
      <c r="I22" s="40" t="n">
        <v>3000</v>
      </c>
      <c r="J22" s="37" t="inlineStr">
        <is>
          <t>—</t>
        </is>
      </c>
      <c r="K22" s="36">
        <f>IF(H22*I22=0,"",H22*I22)</f>
        <v/>
      </c>
    </row>
    <row r="23" ht="8" customHeight="1"/>
    <row r="24" ht="15" customHeight="1">
      <c r="B24" s="21" t="inlineStr">
        <is>
          <t>TERMS &amp; CONDITIONS</t>
        </is>
      </c>
    </row>
    <row r="25" ht="14" customHeight="1">
      <c r="B25" s="41" t="inlineStr">
        <is>
          <t>01  30% advance, 70% on proforma invoice.</t>
        </is>
      </c>
      <c r="H25" s="42" t="inlineStr">
        <is>
          <t>Sub-Total</t>
        </is>
      </c>
      <c r="K25" s="43">
        <f>IFERROR(SUMPRODUCT((K15:K19&lt;&gt;"")*K15:K19)+IFERROR(K21+0,0)+IFERROR(K22+0,0),0)</f>
        <v/>
      </c>
    </row>
    <row r="26" ht="14" customHeight="1">
      <c r="B26" s="44" t="inlineStr">
        <is>
          <t>02  18% GST on inventory charges per Govt. rules.</t>
        </is>
      </c>
      <c r="H26" s="42" t="inlineStr">
        <is>
          <t>GST @ 5% (Products)</t>
        </is>
      </c>
      <c r="K26" s="43">
        <f>IFERROR(SUMPRODUCT((K15:K19&lt;&gt;"")*K15:K19)*0.05,0)</f>
        <v/>
      </c>
    </row>
    <row r="27" ht="14" customHeight="1">
      <c r="B27" s="41" t="inlineStr">
        <is>
          <t>03  Delivery within 40 days of advance receipt.</t>
        </is>
      </c>
      <c r="H27" s="42" t="inlineStr">
        <is>
          <t>GST @ 18% (Inventory)</t>
        </is>
      </c>
      <c r="K27" s="43">
        <f>IFERROR((K22+0)*0.18,0)</f>
        <v/>
      </c>
    </row>
    <row r="28" ht="22" customHeight="1">
      <c r="B28" s="44" t="inlineStr">
        <is>
          <t>04  Brand clash in market — Company not responsible.</t>
        </is>
      </c>
      <c r="H28" s="45" t="inlineStr">
        <is>
          <t>GRAND TOTAL</t>
        </is>
      </c>
      <c r="K28" s="46">
        <f>SUM(K25:K27)</f>
        <v/>
      </c>
    </row>
    <row r="29" ht="17" customHeight="1">
      <c r="B29" s="41" t="inlineStr">
        <is>
          <t>05  Drip-off carton included. Prices subject to change.</t>
        </is>
      </c>
      <c r="H29" s="47" t="inlineStr">
        <is>
          <t>30% Advance Due</t>
        </is>
      </c>
      <c r="K29" s="48">
        <f>K28*0.3</f>
        <v/>
      </c>
    </row>
    <row r="30" ht="8" customHeight="1">
      <c r="B30" s="44" t="inlineStr">
        <is>
          <t>06  All disputes subject to Chandigarh jurisdiction only.</t>
        </is>
      </c>
    </row>
    <row r="31" ht="12" customHeight="1">
      <c r="B31" s="49" t="inlineStr">
        <is>
          <t>GST REG. NO.</t>
        </is>
      </c>
      <c r="G31" s="49" t="inlineStr">
        <is>
          <t>DRUG LICENCE NO.</t>
        </is>
      </c>
    </row>
    <row r="32" ht="17" customHeight="1">
      <c r="B32" s="50" t="inlineStr">
        <is>
          <t>04AAVCS9380D1ZW</t>
        </is>
      </c>
      <c r="G32" s="50" t="inlineStr">
        <is>
          <t>5297-2015/OBW &amp; 5298-2015/BW</t>
        </is>
      </c>
    </row>
    <row r="33" ht="15" customHeight="1">
      <c r="B33" s="31" t="inlineStr">
        <is>
          <t>BANK DETAILS</t>
        </is>
      </c>
    </row>
    <row r="34" ht="12" customHeight="1">
      <c r="B34" s="49" t="inlineStr">
        <is>
          <t>Account Name</t>
        </is>
      </c>
      <c r="D34" s="49" t="inlineStr">
        <is>
          <t>Bank Name</t>
        </is>
      </c>
      <c r="F34" s="49" t="inlineStr">
        <is>
          <t>Branch</t>
        </is>
      </c>
      <c r="G34" s="49" t="inlineStr">
        <is>
          <t>Account No.</t>
        </is>
      </c>
      <c r="J34" s="49" t="inlineStr">
        <is>
          <t>IFSC Code</t>
        </is>
      </c>
    </row>
    <row r="35" ht="17" customHeight="1">
      <c r="B35" s="51" t="inlineStr">
        <is>
          <t>Saach Pharmaceuticals Pvt. Ltd.</t>
        </is>
      </c>
      <c r="D35" s="51" t="inlineStr">
        <is>
          <t>ICICI Bank</t>
        </is>
      </c>
      <c r="F35" s="51" t="inlineStr">
        <is>
          <t>Manimajra</t>
        </is>
      </c>
      <c r="G35" s="51" t="inlineStr">
        <is>
          <t>036205500741</t>
        </is>
      </c>
      <c r="J35" s="51" t="inlineStr">
        <is>
          <t>ICIC0000362</t>
        </is>
      </c>
    </row>
    <row r="36" ht="8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 ht="17" customHeight="1">
      <c r="A37" s="1" t="n"/>
      <c r="B37" s="52" t="inlineStr">
        <is>
          <t>SAACH PHARMACEUTICALS PVT. LTD.</t>
        </is>
      </c>
      <c r="H37" s="53" t="inlineStr">
        <is>
          <t>Authorised Signatory</t>
        </is>
      </c>
    </row>
    <row r="38" ht="12" customHeight="1">
      <c r="A38" s="1" t="n"/>
      <c r="B38" s="54" t="inlineStr">
        <is>
          <t>Computer-generated proforma. All disputes: Chandigarh jurisdiction.  saachpharmaceuticals@gmail.com  |  +91 73076 35695</t>
        </is>
      </c>
    </row>
    <row r="39" ht="4" customHeight="1">
      <c r="A39" s="4" t="n"/>
    </row>
  </sheetData>
  <mergeCells count="57">
    <mergeCell ref="C15:D15"/>
    <mergeCell ref="A39:K39"/>
    <mergeCell ref="D34:E34"/>
    <mergeCell ref="C14:D14"/>
    <mergeCell ref="B31:F31"/>
    <mergeCell ref="G31:K31"/>
    <mergeCell ref="I12:K12"/>
    <mergeCell ref="G34:I34"/>
    <mergeCell ref="B20:K20"/>
    <mergeCell ref="B33:K33"/>
    <mergeCell ref="C18:D18"/>
    <mergeCell ref="B29:G29"/>
    <mergeCell ref="B28:G28"/>
    <mergeCell ref="J34:K34"/>
    <mergeCell ref="C16:D16"/>
    <mergeCell ref="H28:J28"/>
    <mergeCell ref="B37:G37"/>
    <mergeCell ref="A7:K7"/>
    <mergeCell ref="D2:K2"/>
    <mergeCell ref="I8:K8"/>
    <mergeCell ref="H27:J27"/>
    <mergeCell ref="G35:I35"/>
    <mergeCell ref="C22:D22"/>
    <mergeCell ref="F34"/>
    <mergeCell ref="B30:G30"/>
    <mergeCell ref="B24:G24"/>
    <mergeCell ref="J35:K35"/>
    <mergeCell ref="I10:K10"/>
    <mergeCell ref="C21:D21"/>
    <mergeCell ref="B12:E12"/>
    <mergeCell ref="B34:C34"/>
    <mergeCell ref="B11:E11"/>
    <mergeCell ref="B26:G26"/>
    <mergeCell ref="H26:J26"/>
    <mergeCell ref="B14"/>
    <mergeCell ref="A8:H8"/>
    <mergeCell ref="F11:H11"/>
    <mergeCell ref="D4:K4"/>
    <mergeCell ref="C17:D17"/>
    <mergeCell ref="B25:G25"/>
    <mergeCell ref="H29:J29"/>
    <mergeCell ref="B35:C35"/>
    <mergeCell ref="D3:K3"/>
    <mergeCell ref="F10:H10"/>
    <mergeCell ref="I11:K11"/>
    <mergeCell ref="F35"/>
    <mergeCell ref="C19:D19"/>
    <mergeCell ref="B27:G27"/>
    <mergeCell ref="G32:K32"/>
    <mergeCell ref="D5:K5"/>
    <mergeCell ref="F12:H12"/>
    <mergeCell ref="B32:F32"/>
    <mergeCell ref="B10:E10"/>
    <mergeCell ref="B38:K38"/>
    <mergeCell ref="H25:J25"/>
    <mergeCell ref="D35:E35"/>
    <mergeCell ref="H37:K37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2026-03-24T05:51:07Z</dcterms:created>
  <dcterms:modified xmlns:dcterms="http://purl.org/dc/terms/" xmlns:xsi="http://www.w3.org/2001/XMLSchema-instance" xsi:type="dcterms:W3CDTF">2026-03-24T05:51:07Z</dcterms:modified>
</cp:coreProperties>
</file>